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e/projects/biztop/bp/"/>
    </mc:Choice>
  </mc:AlternateContent>
  <xr:revisionPtr revIDLastSave="0" documentId="8_{02ADC6E1-5C35-024A-A3DB-7C17A8471AA8}" xr6:coauthVersionLast="47" xr6:coauthVersionMax="47" xr10:uidLastSave="{00000000-0000-0000-0000-000000000000}"/>
  <bookViews>
    <workbookView xWindow="25600" yWindow="500" windowWidth="12800" windowHeight="28280" xr2:uid="{56D0A2F3-6A65-5946-961C-4DB27B6D88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2" i="1" l="1"/>
  <c r="I72" i="1"/>
  <c r="H72" i="1"/>
  <c r="E72" i="1"/>
  <c r="C67" i="1"/>
  <c r="N64" i="1"/>
  <c r="M64" i="1"/>
  <c r="L64" i="1"/>
  <c r="K64" i="1"/>
  <c r="J64" i="1"/>
  <c r="I64" i="1"/>
  <c r="H64" i="1"/>
  <c r="G64" i="1"/>
  <c r="F64" i="1"/>
  <c r="E64" i="1"/>
  <c r="D64" i="1"/>
  <c r="C64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34" i="1"/>
  <c r="M33" i="1"/>
  <c r="L33" i="1"/>
  <c r="L72" i="1" s="1"/>
  <c r="K33" i="1"/>
  <c r="K72" i="1" s="1"/>
  <c r="J33" i="1"/>
  <c r="J72" i="1" s="1"/>
  <c r="I33" i="1"/>
  <c r="H33" i="1"/>
  <c r="G33" i="1"/>
  <c r="G72" i="1" s="1"/>
  <c r="F33" i="1"/>
  <c r="F72" i="1" s="1"/>
  <c r="E33" i="1"/>
  <c r="D33" i="1"/>
  <c r="D72" i="1" s="1"/>
  <c r="C33" i="1"/>
  <c r="C72" i="1" s="1"/>
  <c r="O31" i="1"/>
  <c r="O30" i="1"/>
  <c r="O29" i="1"/>
  <c r="O28" i="1"/>
  <c r="O27" i="1"/>
  <c r="O26" i="1"/>
  <c r="N25" i="1"/>
  <c r="C36" i="1" s="1"/>
  <c r="M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D74" i="1" l="1"/>
  <c r="C74" i="1"/>
  <c r="C75" i="1" s="1"/>
  <c r="C76" i="1" s="1"/>
  <c r="C77" i="1" s="1"/>
  <c r="C78" i="1" s="1"/>
  <c r="O25" i="1"/>
  <c r="N33" i="1"/>
  <c r="N72" i="1" s="1"/>
</calcChain>
</file>

<file path=xl/sharedStrings.xml><?xml version="1.0" encoding="utf-8"?>
<sst xmlns="http://schemas.openxmlformats.org/spreadsheetml/2006/main" count="85" uniqueCount="69">
  <si>
    <t>REVENUE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</si>
  <si>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</si>
  <si>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</si>
  <si>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</si>
  <si>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</si>
  <si>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</si>
  <si>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</si>
  <si>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</si>
  <si>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</si>
  <si>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</si>
  <si>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</si>
  <si>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</si>
  <si>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</si>
  <si>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Projects</t>
  </si>
  <si>
    <t>IKVP</t>
  </si>
  <si>
    <t>frass</t>
  </si>
  <si>
    <t>Chauvin</t>
  </si>
  <si>
    <t>Boby</t>
  </si>
  <si>
    <t>Clos Real</t>
  </si>
  <si>
    <t>Sim Co Bono</t>
  </si>
  <si>
    <t>WBA Lego</t>
  </si>
  <si>
    <t>Volum</t>
  </si>
  <si>
    <t>Vigi5</t>
  </si>
  <si>
    <t>Odoo Project</t>
  </si>
  <si>
    <t>Small Project</t>
  </si>
  <si>
    <t>Med Project</t>
  </si>
  <si>
    <t>Big Project</t>
  </si>
  <si>
    <t>Products</t>
  </si>
  <si>
    <t>Prezence</t>
  </si>
  <si>
    <t>Bodacker</t>
  </si>
  <si>
    <t>Services</t>
  </si>
  <si>
    <t>MPB CTO</t>
  </si>
  <si>
    <t>Chauvin IT</t>
  </si>
  <si>
    <t>MyWay OE</t>
  </si>
  <si>
    <t>OE 1</t>
  </si>
  <si>
    <t>OE 2</t>
  </si>
  <si>
    <t>frass maintenance</t>
  </si>
  <si>
    <t>Surprise hosting</t>
  </si>
  <si>
    <t>MONTHLY</t>
  </si>
  <si>
    <t>REAL</t>
  </si>
  <si>
    <t>TOTAL</t>
  </si>
  <si>
    <t>EXPENSES</t>
  </si>
  <si>
    <t>Team</t>
  </si>
  <si>
    <t>Sina</t>
  </si>
  <si>
    <t>Thai</t>
  </si>
  <si>
    <t>Tom</t>
  </si>
  <si>
    <t>Max</t>
  </si>
  <si>
    <t>Emile</t>
  </si>
  <si>
    <t>Alfred</t>
  </si>
  <si>
    <t>Office</t>
  </si>
  <si>
    <t>Rent</t>
  </si>
  <si>
    <t>Lunch</t>
  </si>
  <si>
    <t>Compute</t>
  </si>
  <si>
    <t>Azure 500 + Hetzner 50 + Scaleway 100 + Vercel 50 + Cloudflare 50</t>
  </si>
  <si>
    <t>AI</t>
  </si>
  <si>
    <t>Cursor 400 + Claud 150 + Codex 200</t>
  </si>
  <si>
    <t>Misc</t>
  </si>
  <si>
    <t>Total Energy</t>
  </si>
  <si>
    <t>Bank</t>
  </si>
  <si>
    <t>Dinners</t>
  </si>
  <si>
    <t>Transport</t>
  </si>
  <si>
    <t>Coach</t>
  </si>
  <si>
    <t>SaaS</t>
  </si>
  <si>
    <t>Various</t>
  </si>
  <si>
    <t>PROFIT</t>
  </si>
  <si>
    <t>25% IS</t>
  </si>
  <si>
    <t>Take 90% home</t>
  </si>
  <si>
    <t>30% Dividendes</t>
  </si>
  <si>
    <t>Monthly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</si>
</sst>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[$€]#,##0.00"/>
  </numFmts>
  <fonts count="9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rial"/>
      <family val="2"/>
    </font>
    <font>
      <i/>
      <sz val="9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4285F4"/>
      <name val="Aptos Narrow"/>
      <family val="2"/>
      <scheme val="minor"/>
    </font>
    <font>
      <sz val="10"/>
      <color rgb="FF4A86E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64" fontId="1" fillId="0" borderId="0" xfId="0" applyNumberFormat="1" applyFont="1"/>
    <xf numFmtId="0" fontId="2" fillId="2" borderId="0" xfId="0" applyFont="1" applyFill="1" applyAlignment="1">
      <alignment horizontal="left"/>
    </xf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0" borderId="0" xfId="0" applyFont="1"/>
    <xf numFmtId="0" fontId="4" fillId="0" borderId="4" xfId="0" applyFont="1" applyBorder="1"/>
    <xf numFmtId="0" fontId="5" fillId="0" borderId="1" xfId="0" applyFont="1" applyBorder="1"/>
    <xf numFmtId="0" fontId="6" fillId="0" borderId="4" xfId="0" applyFont="1" applyBorder="1"/>
    <xf numFmtId="165" fontId="6" fillId="0" borderId="4" xfId="0" applyNumberFormat="1" applyFont="1" applyBorder="1"/>
    <xf numFmtId="0" fontId="6" fillId="0" borderId="0" xfId="0" applyFont="1"/>
    <xf numFmtId="165" fontId="1" fillId="0" borderId="0" xfId="0" applyNumberFormat="1" applyFont="1"/>
    <xf numFmtId="165" fontId="7" fillId="0" borderId="4" xfId="0" applyNumberFormat="1" applyFont="1" applyBorder="1"/>
    <xf numFmtId="0" fontId="7" fillId="0" borderId="0" xfId="0" applyFont="1"/>
    <xf numFmtId="0" fontId="7" fillId="0" borderId="4" xfId="0" applyFont="1" applyBorder="1"/>
    <xf numFmtId="165" fontId="7" fillId="0" borderId="0" xfId="0" applyNumberFormat="1" applyFont="1"/>
    <xf numFmtId="165" fontId="8" fillId="0" borderId="4" xfId="0" applyNumberFormat="1" applyFont="1" applyBorder="1"/>
    <xf numFmtId="0" fontId="1" fillId="3" borderId="0" xfId="0" applyFont="1" applyFill="1"/>
    <xf numFmtId="165" fontId="1" fillId="3" borderId="0" xfId="0" applyNumberFormat="1" applyFont="1" applyFill="1"/>
    <xf numFmtId="0" fontId="2" fillId="0" borderId="0" xfId="0" applyFont="1"/>
    <xf numFmtId="165" fontId="2" fillId="0" borderId="0" xfId="0" applyNumberFormat="1" applyFont="1"/>
    <xf numFmtId="0" fontId="1" fillId="0" borderId="5" xfId="0" applyFont="1" applyBorder="1"/>
    <xf numFmtId="165" fontId="1" fillId="0" borderId="5" xfId="0" applyNumberFormat="1" applyFont="1" applyBorder="1"/>
    <xf numFmtId="0" fontId="2" fillId="2" borderId="0" xfId="0" applyFont="1" applyFill="1"/>
    <xf numFmtId="0" fontId="2" fillId="0" borderId="1" xfId="0" applyFont="1" applyBorder="1"/>
    <xf numFmtId="0" fontId="1" fillId="0" borderId="4" xfId="0" applyFont="1" applyBorder="1"/>
    <xf numFmtId="165" fontId="1" fillId="0" borderId="4" xfId="0" applyNumberFormat="1" applyFont="1" applyBorder="1"/>
    <xf numFmtId="0" fontId="1" fillId="4" borderId="0" xfId="0" applyFont="1" applyFill="1"/>
    <xf numFmtId="165" fontId="1" fillId="4" borderId="0" xfId="0" applyNumberFormat="1" applyFont="1" applyFill="1"/>
    <xf numFmtId="10" fontId="2" fillId="0" borderId="0" xfId="0" applyNumberFormat="1" applyFont="1"/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18042-45B5-DC49-9E88-17452847BD72}">
  <dimension ref="A1:Q78"/>
  <sheetViews>
    <sheetView tabSelected="1" workbookViewId="0">
      <selection activeCell="D23" sqref="D23"/>
    </sheetView>
  </sheetViews>
  <sheetFormatPr baseColWidth="10" defaultColWidth="12.6640625" defaultRowHeight="16" x14ac:dyDescent="0.2"/>
  <cols>
    <col min="1" max="1" width="6.6640625" customWidth="1"/>
    <col min="2" max="2" width="15.6640625" customWidth="1"/>
  </cols>
  <sheetData>
    <row r="1" spans="2:15" x14ac:dyDescent="0.2">
      <c r="B1" s="1">
        <v>46329</v>
      </c>
    </row>
    <row r="3" spans="2:15" x14ac:dyDescent="0.2">
      <c r="B3" s="2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2:15" x14ac:dyDescent="0.2">
      <c r="B4" s="4"/>
      <c r="C4" s="4"/>
      <c r="D4" s="4"/>
      <c r="E4" s="4"/>
      <c r="F4" s="4"/>
      <c r="G4" s="4"/>
      <c r="H4" s="4"/>
      <c r="I4" s="4"/>
      <c r="J4" s="4"/>
    </row>
    <row r="5" spans="2:15" x14ac:dyDescent="0.2">
      <c r="B5" s="4"/>
      <c r="C5" s="5">
        <v>2026</v>
      </c>
      <c r="D5" s="6"/>
      <c r="E5" s="6"/>
      <c r="F5" s="6"/>
      <c r="G5" s="6"/>
      <c r="H5" s="6"/>
      <c r="I5" s="6"/>
      <c r="J5" s="6"/>
      <c r="K5" s="6"/>
      <c r="L5" s="6"/>
      <c r="M5" s="6"/>
      <c r="N5" s="7"/>
    </row>
    <row r="6" spans="2:15" x14ac:dyDescent="0.2">
      <c r="B6" s="8"/>
      <c r="C6" s="9" t="s">
        <v>1</v>
      </c>
      <c r="D6" s="9" t="s">
        <v>2</v>
      </c>
      <c r="E6" s="9" t="s">
        <v>3</v>
      </c>
      <c r="F6" s="9" t="s">
        <v>4</v>
      </c>
      <c r="G6" s="9" t="s">
        <v>5</v>
      </c>
      <c r="H6" s="9" t="s">
        <v>6</v>
      </c>
      <c r="I6" s="9" t="s">
        <v>7</v>
      </c>
      <c r="J6" s="9" t="s">
        <v>8</v>
      </c>
      <c r="K6" s="9" t="s">
        <v>9</v>
      </c>
      <c r="L6" s="9" t="s">
        <v>10</v>
      </c>
      <c r="M6" s="9" t="s">
        <v>11</v>
      </c>
      <c r="N6" s="9" t="s">
        <v>12</v>
      </c>
    </row>
    <row r="7" spans="2:15" x14ac:dyDescent="0.2">
      <c r="B7" s="10" t="s">
        <v>13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/>
    </row>
    <row r="8" spans="2:15" x14ac:dyDescent="0.2">
      <c r="B8" s="11" t="s">
        <v>14</v>
      </c>
      <c r="C8" s="12"/>
      <c r="D8" s="13"/>
      <c r="E8" s="12"/>
      <c r="F8" s="12">
        <v>15000</v>
      </c>
      <c r="G8" s="12"/>
      <c r="H8" s="12"/>
      <c r="I8" s="12"/>
      <c r="J8" s="12"/>
      <c r="K8" s="12"/>
      <c r="L8" s="12"/>
      <c r="M8" s="12"/>
      <c r="N8" s="12"/>
      <c r="O8" s="14">
        <f t="shared" ref="O8:O31" si="0">SUM(C8:N8)</f>
        <v>15000</v>
      </c>
    </row>
    <row r="9" spans="2:15" x14ac:dyDescent="0.2">
      <c r="B9" s="11" t="s">
        <v>15</v>
      </c>
      <c r="C9" s="12"/>
      <c r="D9" s="12">
        <v>3400</v>
      </c>
      <c r="E9" s="13"/>
      <c r="F9" s="12">
        <v>1800</v>
      </c>
      <c r="G9" s="12"/>
      <c r="H9" s="12"/>
      <c r="I9" s="12"/>
      <c r="J9" s="12"/>
      <c r="K9" s="12"/>
      <c r="L9" s="12"/>
      <c r="M9" s="12"/>
      <c r="N9" s="12"/>
      <c r="O9" s="14">
        <f t="shared" si="0"/>
        <v>5200</v>
      </c>
    </row>
    <row r="10" spans="2:15" x14ac:dyDescent="0.2">
      <c r="B10" s="11" t="s">
        <v>16</v>
      </c>
      <c r="C10" s="12"/>
      <c r="D10" s="12">
        <v>14000</v>
      </c>
      <c r="E10" s="12"/>
      <c r="F10" s="12">
        <v>20000</v>
      </c>
      <c r="G10" s="12"/>
      <c r="H10" s="12"/>
      <c r="I10" s="12"/>
      <c r="J10" s="12"/>
      <c r="K10" s="12"/>
      <c r="L10" s="12"/>
      <c r="M10" s="12"/>
      <c r="N10" s="12"/>
      <c r="O10" s="14">
        <f t="shared" si="0"/>
        <v>34000</v>
      </c>
    </row>
    <row r="11" spans="2:15" x14ac:dyDescent="0.2">
      <c r="B11" s="11" t="s">
        <v>17</v>
      </c>
      <c r="C11" s="12"/>
      <c r="D11" s="12"/>
      <c r="E11" s="12"/>
      <c r="F11" s="12"/>
      <c r="G11" s="12">
        <v>15000</v>
      </c>
      <c r="H11" s="12"/>
      <c r="I11" s="12"/>
      <c r="J11" s="12"/>
      <c r="K11" s="12"/>
      <c r="L11" s="12"/>
      <c r="M11" s="12"/>
      <c r="N11" s="12"/>
      <c r="O11" s="14">
        <f t="shared" si="0"/>
        <v>15000</v>
      </c>
    </row>
    <row r="12" spans="2:15" x14ac:dyDescent="0.2">
      <c r="B12" s="11" t="s">
        <v>18</v>
      </c>
      <c r="C12" s="12"/>
      <c r="D12" s="12"/>
      <c r="E12" s="12"/>
      <c r="F12" s="12">
        <v>5000</v>
      </c>
      <c r="G12" s="12"/>
      <c r="H12" s="12"/>
      <c r="I12" s="12"/>
      <c r="J12" s="12"/>
      <c r="K12" s="12"/>
      <c r="L12" s="12"/>
      <c r="M12" s="12"/>
      <c r="N12" s="12"/>
      <c r="O12" s="14">
        <f t="shared" si="0"/>
        <v>5000</v>
      </c>
    </row>
    <row r="13" spans="2:15" x14ac:dyDescent="0.2">
      <c r="B13" s="11" t="s">
        <v>19</v>
      </c>
      <c r="C13" s="12"/>
      <c r="D13" s="12"/>
      <c r="E13" s="12"/>
      <c r="F13" s="12">
        <v>4000</v>
      </c>
      <c r="G13" s="12"/>
      <c r="H13" s="12"/>
      <c r="I13" s="12"/>
      <c r="J13" s="12"/>
      <c r="K13" s="12"/>
      <c r="L13" s="12"/>
      <c r="M13" s="12"/>
      <c r="N13" s="12"/>
      <c r="O13" s="14">
        <f t="shared" si="0"/>
        <v>4000</v>
      </c>
    </row>
    <row r="14" spans="2:15" x14ac:dyDescent="0.2">
      <c r="B14" s="11" t="s">
        <v>20</v>
      </c>
      <c r="C14" s="12"/>
      <c r="D14" s="12"/>
      <c r="E14" s="12"/>
      <c r="F14" s="12"/>
      <c r="G14" s="12">
        <v>6500</v>
      </c>
      <c r="H14" s="12"/>
      <c r="I14" s="12"/>
      <c r="J14" s="12"/>
      <c r="K14" s="12"/>
      <c r="L14" s="12"/>
      <c r="M14" s="12"/>
      <c r="N14" s="12"/>
      <c r="O14" s="14">
        <f t="shared" si="0"/>
        <v>6500</v>
      </c>
    </row>
    <row r="15" spans="2:15" x14ac:dyDescent="0.2">
      <c r="B15" s="11" t="s">
        <v>21</v>
      </c>
      <c r="C15" s="12"/>
      <c r="D15" s="12"/>
      <c r="E15" s="15">
        <v>5000</v>
      </c>
      <c r="F15" s="15"/>
      <c r="G15" s="15">
        <v>10000</v>
      </c>
      <c r="H15" s="12"/>
      <c r="I15" s="12"/>
      <c r="J15" s="12"/>
      <c r="K15" s="12"/>
      <c r="L15" s="12"/>
      <c r="M15" s="12"/>
      <c r="N15" s="12"/>
      <c r="O15" s="14">
        <f t="shared" si="0"/>
        <v>15000</v>
      </c>
    </row>
    <row r="16" spans="2:15" x14ac:dyDescent="0.2">
      <c r="B16" s="11" t="s">
        <v>22</v>
      </c>
      <c r="C16" s="12"/>
      <c r="D16" s="12"/>
      <c r="E16" s="12">
        <v>15000</v>
      </c>
      <c r="F16" s="12"/>
      <c r="G16" s="12"/>
      <c r="H16" s="12"/>
      <c r="I16" s="12">
        <v>30000</v>
      </c>
      <c r="J16" s="12"/>
      <c r="K16" s="12"/>
      <c r="L16" s="12"/>
      <c r="M16" s="12"/>
      <c r="N16" s="12"/>
      <c r="O16" s="14">
        <f t="shared" si="0"/>
        <v>45000</v>
      </c>
    </row>
    <row r="17" spans="1:17" x14ac:dyDescent="0.2">
      <c r="A17" s="16"/>
      <c r="B17" s="17" t="s">
        <v>23</v>
      </c>
      <c r="C17" s="15"/>
      <c r="D17" s="15"/>
      <c r="E17" s="15"/>
      <c r="F17" s="15"/>
      <c r="G17" s="15"/>
      <c r="H17" s="15">
        <v>1000</v>
      </c>
      <c r="I17" s="15">
        <v>1000</v>
      </c>
      <c r="J17" s="15">
        <v>1000</v>
      </c>
      <c r="K17" s="15">
        <v>1000</v>
      </c>
      <c r="L17" s="15">
        <v>1000</v>
      </c>
      <c r="M17" s="15">
        <v>1000</v>
      </c>
      <c r="N17" s="15">
        <v>1000</v>
      </c>
      <c r="O17" s="18">
        <f t="shared" si="0"/>
        <v>7000</v>
      </c>
      <c r="P17" s="16"/>
      <c r="Q17" s="16"/>
    </row>
    <row r="18" spans="1:17" x14ac:dyDescent="0.2">
      <c r="A18" s="16"/>
      <c r="B18" s="17" t="s">
        <v>24</v>
      </c>
      <c r="C18" s="15"/>
      <c r="D18" s="15"/>
      <c r="E18" s="15"/>
      <c r="F18" s="15"/>
      <c r="G18" s="15"/>
      <c r="H18" s="15"/>
      <c r="I18" s="15"/>
      <c r="J18" s="15"/>
      <c r="K18" s="15">
        <v>5000</v>
      </c>
      <c r="L18" s="15"/>
      <c r="M18" s="15"/>
      <c r="N18" s="15"/>
      <c r="O18" s="18">
        <f t="shared" si="0"/>
        <v>5000</v>
      </c>
      <c r="P18" s="16"/>
      <c r="Q18" s="16"/>
    </row>
    <row r="19" spans="1:17" x14ac:dyDescent="0.2">
      <c r="A19" s="16"/>
      <c r="B19" s="17" t="s">
        <v>25</v>
      </c>
      <c r="C19" s="15"/>
      <c r="D19" s="15"/>
      <c r="E19" s="15"/>
      <c r="F19" s="15"/>
      <c r="G19" s="15"/>
      <c r="H19" s="15">
        <v>5000</v>
      </c>
      <c r="I19" s="15"/>
      <c r="J19" s="15"/>
      <c r="K19" s="15"/>
      <c r="L19" s="15">
        <v>20000</v>
      </c>
      <c r="M19" s="15"/>
      <c r="N19" s="15"/>
      <c r="O19" s="18">
        <f t="shared" si="0"/>
        <v>25000</v>
      </c>
      <c r="P19" s="16"/>
      <c r="Q19" s="16"/>
    </row>
    <row r="20" spans="1:17" x14ac:dyDescent="0.2">
      <c r="A20" s="16"/>
      <c r="B20" s="17" t="s">
        <v>26</v>
      </c>
      <c r="C20" s="15"/>
      <c r="D20" s="15"/>
      <c r="E20" s="15"/>
      <c r="F20" s="15"/>
      <c r="G20" s="15">
        <v>15000</v>
      </c>
      <c r="H20" s="15"/>
      <c r="I20" s="15"/>
      <c r="J20" s="15"/>
      <c r="K20" s="15"/>
      <c r="L20" s="15">
        <v>50000</v>
      </c>
      <c r="M20" s="15"/>
      <c r="N20" s="15">
        <v>5000</v>
      </c>
      <c r="O20" s="18">
        <f t="shared" si="0"/>
        <v>70000</v>
      </c>
      <c r="P20" s="16"/>
      <c r="Q20" s="16"/>
    </row>
    <row r="21" spans="1:17" x14ac:dyDescent="0.2">
      <c r="B21" s="10" t="s">
        <v>27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7"/>
      <c r="O21" s="8">
        <f t="shared" si="0"/>
        <v>0</v>
      </c>
    </row>
    <row r="22" spans="1:17" x14ac:dyDescent="0.2">
      <c r="B22" s="11" t="s">
        <v>28</v>
      </c>
      <c r="C22" s="12"/>
      <c r="D22" s="12">
        <v>6000</v>
      </c>
      <c r="E22" s="12"/>
      <c r="F22" s="19">
        <v>5000</v>
      </c>
      <c r="G22" s="12"/>
      <c r="H22" s="19">
        <v>5000</v>
      </c>
      <c r="I22" s="12">
        <v>15000</v>
      </c>
      <c r="J22" s="12"/>
      <c r="K22" s="19">
        <v>500</v>
      </c>
      <c r="L22" s="19">
        <v>15000</v>
      </c>
      <c r="M22" s="12"/>
      <c r="N22" s="19">
        <v>100</v>
      </c>
      <c r="O22" s="14">
        <f t="shared" si="0"/>
        <v>46600</v>
      </c>
    </row>
    <row r="23" spans="1:17" x14ac:dyDescent="0.2">
      <c r="A23" s="16"/>
      <c r="B23" s="17" t="s">
        <v>29</v>
      </c>
      <c r="C23" s="15"/>
      <c r="D23" s="15"/>
      <c r="E23" s="15"/>
      <c r="F23" s="15"/>
      <c r="G23" s="15"/>
      <c r="H23" s="15">
        <v>100</v>
      </c>
      <c r="I23" s="15">
        <v>100</v>
      </c>
      <c r="J23" s="15">
        <v>100</v>
      </c>
      <c r="K23" s="15">
        <v>300</v>
      </c>
      <c r="L23" s="15">
        <v>300</v>
      </c>
      <c r="M23" s="15">
        <v>300</v>
      </c>
      <c r="N23" s="15">
        <v>300</v>
      </c>
      <c r="O23" s="18">
        <f t="shared" si="0"/>
        <v>1500</v>
      </c>
      <c r="P23" s="16"/>
      <c r="Q23" s="16"/>
    </row>
    <row r="24" spans="1:17" x14ac:dyDescent="0.2">
      <c r="B24" s="10" t="s">
        <v>30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7"/>
      <c r="O24" s="8">
        <f t="shared" si="0"/>
        <v>0</v>
      </c>
    </row>
    <row r="25" spans="1:17" x14ac:dyDescent="0.2">
      <c r="B25" s="11" t="s">
        <v>31</v>
      </c>
      <c r="C25" s="12"/>
      <c r="D25" s="12">
        <v>9000</v>
      </c>
      <c r="E25" s="12"/>
      <c r="F25" s="12"/>
      <c r="G25" s="12">
        <v>8000</v>
      </c>
      <c r="H25" s="12"/>
      <c r="J25" s="12">
        <v>8000</v>
      </c>
      <c r="K25" s="12"/>
      <c r="L25" s="12">
        <v>8000</v>
      </c>
      <c r="M25" s="12">
        <f t="shared" ref="M25:N25" si="1">8000/3</f>
        <v>2666.6666666666665</v>
      </c>
      <c r="N25" s="12">
        <f t="shared" si="1"/>
        <v>2666.6666666666665</v>
      </c>
      <c r="O25" s="14">
        <f t="shared" si="0"/>
        <v>38333.333333333328</v>
      </c>
    </row>
    <row r="26" spans="1:17" x14ac:dyDescent="0.2">
      <c r="B26" s="11" t="s">
        <v>32</v>
      </c>
      <c r="C26" s="12">
        <v>3700</v>
      </c>
      <c r="D26" s="12"/>
      <c r="E26" s="12">
        <v>1972</v>
      </c>
      <c r="F26" s="12"/>
      <c r="G26" s="12">
        <v>500</v>
      </c>
      <c r="H26" s="15">
        <v>2000</v>
      </c>
      <c r="I26" s="12">
        <v>500</v>
      </c>
      <c r="J26" s="12">
        <v>500</v>
      </c>
      <c r="K26" s="15">
        <v>3000</v>
      </c>
      <c r="L26" s="12">
        <v>500</v>
      </c>
      <c r="M26" s="12">
        <v>500</v>
      </c>
      <c r="N26" s="12">
        <v>500</v>
      </c>
      <c r="O26" s="14">
        <f t="shared" si="0"/>
        <v>13672</v>
      </c>
    </row>
    <row r="27" spans="1:17" x14ac:dyDescent="0.2">
      <c r="B27" s="11" t="s">
        <v>33</v>
      </c>
      <c r="C27" s="12">
        <v>4200</v>
      </c>
      <c r="D27" s="12">
        <v>4200</v>
      </c>
      <c r="E27" s="12">
        <v>4200</v>
      </c>
      <c r="F27" s="12">
        <v>4200</v>
      </c>
      <c r="G27" s="12">
        <v>4200</v>
      </c>
      <c r="H27" s="12">
        <v>4200</v>
      </c>
      <c r="I27" s="12"/>
      <c r="J27" s="12"/>
      <c r="K27" s="12"/>
      <c r="L27" s="12"/>
      <c r="M27" s="12"/>
      <c r="N27" s="12"/>
      <c r="O27" s="14">
        <f t="shared" si="0"/>
        <v>25200</v>
      </c>
    </row>
    <row r="28" spans="1:17" x14ac:dyDescent="0.2">
      <c r="A28" s="16"/>
      <c r="B28" s="17" t="s">
        <v>34</v>
      </c>
      <c r="C28" s="15"/>
      <c r="D28" s="15"/>
      <c r="E28" s="15"/>
      <c r="F28" s="15">
        <v>4200</v>
      </c>
      <c r="G28" s="15">
        <v>4200</v>
      </c>
      <c r="H28" s="15">
        <v>4200</v>
      </c>
      <c r="I28" s="15">
        <v>4200</v>
      </c>
      <c r="J28" s="15">
        <v>4200</v>
      </c>
      <c r="K28" s="15">
        <v>4200</v>
      </c>
      <c r="L28" s="15">
        <v>4200</v>
      </c>
      <c r="M28" s="15">
        <v>4200</v>
      </c>
      <c r="N28" s="15">
        <v>4200</v>
      </c>
      <c r="O28" s="14">
        <f t="shared" si="0"/>
        <v>37800</v>
      </c>
      <c r="P28" s="16"/>
      <c r="Q28" s="16"/>
    </row>
    <row r="29" spans="1:17" x14ac:dyDescent="0.2">
      <c r="A29" s="16"/>
      <c r="B29" s="17" t="s">
        <v>35</v>
      </c>
      <c r="C29" s="15"/>
      <c r="D29" s="15"/>
      <c r="E29" s="15"/>
      <c r="F29" s="15"/>
      <c r="G29" s="15"/>
      <c r="H29" s="15">
        <v>4200</v>
      </c>
      <c r="I29" s="15">
        <v>4200</v>
      </c>
      <c r="J29" s="15">
        <v>4200</v>
      </c>
      <c r="K29" s="15">
        <v>4200</v>
      </c>
      <c r="L29" s="15">
        <v>4200</v>
      </c>
      <c r="M29" s="15">
        <v>4200</v>
      </c>
      <c r="N29" s="15">
        <v>4200</v>
      </c>
      <c r="O29" s="14">
        <f t="shared" si="0"/>
        <v>29400</v>
      </c>
      <c r="P29" s="16"/>
      <c r="Q29" s="16"/>
    </row>
    <row r="30" spans="1:17" x14ac:dyDescent="0.2">
      <c r="B30" s="11" t="s">
        <v>36</v>
      </c>
      <c r="C30" s="12"/>
      <c r="D30" s="12"/>
      <c r="E30" s="12">
        <v>360</v>
      </c>
      <c r="F30" s="12">
        <v>360</v>
      </c>
      <c r="G30" s="12">
        <v>360</v>
      </c>
      <c r="H30" s="12">
        <v>360</v>
      </c>
      <c r="I30" s="12">
        <v>360</v>
      </c>
      <c r="J30" s="12">
        <v>360</v>
      </c>
      <c r="K30" s="12">
        <v>360</v>
      </c>
      <c r="L30" s="12">
        <v>360</v>
      </c>
      <c r="M30" s="12">
        <v>360</v>
      </c>
      <c r="N30" s="12">
        <v>360</v>
      </c>
      <c r="O30" s="14">
        <f t="shared" si="0"/>
        <v>3600</v>
      </c>
    </row>
    <row r="31" spans="1:17" x14ac:dyDescent="0.2">
      <c r="B31" s="11" t="s">
        <v>37</v>
      </c>
      <c r="C31" s="12">
        <v>60</v>
      </c>
      <c r="D31" s="12">
        <v>60</v>
      </c>
      <c r="E31" s="12">
        <v>60</v>
      </c>
      <c r="F31" s="12">
        <v>60</v>
      </c>
      <c r="G31" s="12">
        <v>60</v>
      </c>
      <c r="H31" s="12">
        <v>60</v>
      </c>
      <c r="I31" s="12">
        <v>60</v>
      </c>
      <c r="J31" s="12">
        <v>60</v>
      </c>
      <c r="K31" s="12">
        <v>60</v>
      </c>
      <c r="L31" s="12">
        <v>60</v>
      </c>
      <c r="M31" s="12">
        <v>60</v>
      </c>
      <c r="N31" s="12">
        <v>60</v>
      </c>
      <c r="O31" s="14">
        <f t="shared" si="0"/>
        <v>720</v>
      </c>
    </row>
    <row r="32" spans="1:17" x14ac:dyDescent="0.2">
      <c r="C32" s="14"/>
      <c r="D32" s="14"/>
      <c r="E32" s="14"/>
      <c r="F32" s="14"/>
      <c r="G32" s="14"/>
      <c r="H32" s="14"/>
      <c r="I32" s="14"/>
      <c r="J32" s="14"/>
    </row>
    <row r="33" spans="2:15" x14ac:dyDescent="0.2">
      <c r="B33" s="20" t="s">
        <v>38</v>
      </c>
      <c r="C33" s="21">
        <f t="shared" ref="C33:N33" si="2">SUM(C7:C31)</f>
        <v>7960</v>
      </c>
      <c r="D33" s="21">
        <f t="shared" si="2"/>
        <v>36660</v>
      </c>
      <c r="E33" s="21">
        <f t="shared" si="2"/>
        <v>26592</v>
      </c>
      <c r="F33" s="21">
        <f t="shared" si="2"/>
        <v>59620</v>
      </c>
      <c r="G33" s="21">
        <f t="shared" si="2"/>
        <v>63820</v>
      </c>
      <c r="H33" s="21">
        <f t="shared" si="2"/>
        <v>26120</v>
      </c>
      <c r="I33" s="21">
        <f t="shared" si="2"/>
        <v>55420</v>
      </c>
      <c r="J33" s="21">
        <f t="shared" si="2"/>
        <v>18420</v>
      </c>
      <c r="K33" s="21">
        <f t="shared" si="2"/>
        <v>18620</v>
      </c>
      <c r="L33" s="21">
        <f t="shared" si="2"/>
        <v>103620</v>
      </c>
      <c r="M33" s="21">
        <f t="shared" si="2"/>
        <v>13286.666666666666</v>
      </c>
      <c r="N33" s="21">
        <f t="shared" si="2"/>
        <v>18386.666666666664</v>
      </c>
    </row>
    <row r="34" spans="2:15" x14ac:dyDescent="0.2">
      <c r="B34" s="22" t="s">
        <v>39</v>
      </c>
      <c r="C34" s="23"/>
      <c r="D34" s="23"/>
      <c r="E34" s="23"/>
      <c r="F34" s="23"/>
      <c r="G34" s="23"/>
      <c r="H34" s="23"/>
      <c r="I34" s="23"/>
      <c r="J34" s="23"/>
      <c r="K34" s="22"/>
      <c r="L34" s="22"/>
      <c r="M34" s="22"/>
      <c r="N34" s="22"/>
      <c r="O34" s="14">
        <f>SUM(C34:N34)</f>
        <v>0</v>
      </c>
    </row>
    <row r="35" spans="2:15" x14ac:dyDescent="0.2">
      <c r="C35" s="14"/>
      <c r="D35" s="14"/>
      <c r="E35" s="14"/>
      <c r="F35" s="14"/>
      <c r="G35" s="14"/>
      <c r="H35" s="14"/>
      <c r="I35" s="14"/>
      <c r="J35" s="14"/>
    </row>
    <row r="36" spans="2:15" x14ac:dyDescent="0.2">
      <c r="B36" s="24" t="s">
        <v>40</v>
      </c>
      <c r="C36" s="25">
        <f>SUM(C7:N31)</f>
        <v>448525.33333333337</v>
      </c>
      <c r="D36" s="14"/>
      <c r="E36" s="14"/>
      <c r="F36" s="14"/>
      <c r="G36" s="14"/>
      <c r="H36" s="14"/>
      <c r="I36" s="14"/>
      <c r="J36" s="14"/>
    </row>
    <row r="37" spans="2:15" x14ac:dyDescent="0.2">
      <c r="C37" s="14"/>
      <c r="D37" s="14"/>
      <c r="E37" s="14"/>
      <c r="F37" s="14"/>
      <c r="G37" s="14"/>
      <c r="H37" s="14"/>
      <c r="I37" s="14"/>
      <c r="J37" s="14"/>
    </row>
    <row r="39" spans="2:15" x14ac:dyDescent="0.2">
      <c r="B39" s="26" t="s">
        <v>41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5" x14ac:dyDescent="0.2">
      <c r="C40" s="4"/>
      <c r="D40" s="4"/>
      <c r="E40" s="4"/>
      <c r="F40" s="4"/>
      <c r="G40" s="4"/>
      <c r="H40" s="4"/>
      <c r="I40" s="4"/>
      <c r="J40" s="4"/>
    </row>
    <row r="41" spans="2:15" x14ac:dyDescent="0.2">
      <c r="C41" s="5">
        <v>2025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7"/>
    </row>
    <row r="42" spans="2:15" x14ac:dyDescent="0.2">
      <c r="C42" s="9" t="s">
        <v>1</v>
      </c>
      <c r="D42" s="9" t="s">
        <v>2</v>
      </c>
      <c r="E42" s="9" t="s">
        <v>3</v>
      </c>
      <c r="F42" s="9" t="s">
        <v>4</v>
      </c>
      <c r="G42" s="9" t="s">
        <v>5</v>
      </c>
      <c r="H42" s="9" t="s">
        <v>6</v>
      </c>
      <c r="I42" s="9" t="s">
        <v>7</v>
      </c>
      <c r="J42" s="9" t="s">
        <v>8</v>
      </c>
      <c r="K42" s="9" t="s">
        <v>9</v>
      </c>
      <c r="L42" s="9" t="s">
        <v>10</v>
      </c>
      <c r="M42" s="9" t="s">
        <v>11</v>
      </c>
      <c r="N42" s="9" t="s">
        <v>12</v>
      </c>
    </row>
    <row r="43" spans="2:15" x14ac:dyDescent="0.2">
      <c r="B43" s="27" t="s">
        <v>42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7"/>
    </row>
    <row r="44" spans="2:15" x14ac:dyDescent="0.2">
      <c r="B44" s="28" t="s">
        <v>43</v>
      </c>
      <c r="C44" s="29">
        <v>1900</v>
      </c>
      <c r="D44" s="29">
        <v>1900</v>
      </c>
      <c r="E44" s="29">
        <v>1900</v>
      </c>
      <c r="F44" s="29">
        <v>1900</v>
      </c>
      <c r="G44" s="29">
        <v>1900</v>
      </c>
      <c r="H44" s="29">
        <v>1900</v>
      </c>
      <c r="I44" s="29">
        <v>1900</v>
      </c>
      <c r="J44" s="29">
        <v>1900</v>
      </c>
      <c r="K44" s="29">
        <v>1900</v>
      </c>
      <c r="L44" s="29">
        <v>1900</v>
      </c>
      <c r="M44" s="29">
        <v>1900</v>
      </c>
      <c r="N44" s="29">
        <v>1900</v>
      </c>
      <c r="O44" s="14">
        <f t="shared" ref="O44:O62" si="3">SUM(C44:N44)</f>
        <v>22800</v>
      </c>
    </row>
    <row r="45" spans="2:15" x14ac:dyDescent="0.2">
      <c r="B45" s="28" t="s">
        <v>44</v>
      </c>
      <c r="C45" s="29">
        <v>2000</v>
      </c>
      <c r="D45" s="29">
        <v>2000</v>
      </c>
      <c r="E45" s="29">
        <v>2000</v>
      </c>
      <c r="F45" s="29">
        <v>2000</v>
      </c>
      <c r="G45" s="29">
        <v>2000</v>
      </c>
      <c r="H45" s="29">
        <v>2000</v>
      </c>
      <c r="I45" s="29">
        <v>2000</v>
      </c>
      <c r="J45" s="29">
        <v>2000</v>
      </c>
      <c r="K45" s="29">
        <v>2000</v>
      </c>
      <c r="L45" s="29">
        <v>2000</v>
      </c>
      <c r="M45" s="29">
        <v>2000</v>
      </c>
      <c r="N45" s="29">
        <v>2000</v>
      </c>
      <c r="O45" s="14">
        <f t="shared" si="3"/>
        <v>24000</v>
      </c>
    </row>
    <row r="46" spans="2:15" x14ac:dyDescent="0.2">
      <c r="B46" s="28" t="s">
        <v>45</v>
      </c>
      <c r="C46" s="29">
        <v>2200</v>
      </c>
      <c r="D46" s="29">
        <v>2200</v>
      </c>
      <c r="E46" s="29">
        <v>2200</v>
      </c>
      <c r="F46" s="29">
        <v>2200</v>
      </c>
      <c r="G46" s="29">
        <v>2200</v>
      </c>
      <c r="H46" s="29">
        <v>2200</v>
      </c>
      <c r="I46" s="29">
        <v>2200</v>
      </c>
      <c r="J46" s="29">
        <v>2200</v>
      </c>
      <c r="K46" s="29">
        <v>2200</v>
      </c>
      <c r="L46" s="29">
        <v>2200</v>
      </c>
      <c r="M46" s="29">
        <v>2200</v>
      </c>
      <c r="N46" s="29">
        <v>2200</v>
      </c>
      <c r="O46" s="14">
        <f t="shared" si="3"/>
        <v>26400</v>
      </c>
    </row>
    <row r="47" spans="2:15" x14ac:dyDescent="0.2">
      <c r="B47" s="28" t="s">
        <v>46</v>
      </c>
      <c r="C47" s="29">
        <v>3250</v>
      </c>
      <c r="D47" s="29">
        <v>4000</v>
      </c>
      <c r="E47" s="29">
        <v>4500</v>
      </c>
      <c r="F47" s="29">
        <v>4500</v>
      </c>
      <c r="G47" s="29">
        <v>4500</v>
      </c>
      <c r="H47" s="29">
        <v>4500</v>
      </c>
      <c r="I47" s="29">
        <v>4500</v>
      </c>
      <c r="J47" s="29">
        <v>4500</v>
      </c>
      <c r="K47" s="29">
        <v>4500</v>
      </c>
      <c r="L47" s="29">
        <v>4500</v>
      </c>
      <c r="M47" s="29">
        <v>4500</v>
      </c>
      <c r="N47" s="29">
        <v>4500</v>
      </c>
      <c r="O47" s="14">
        <f t="shared" si="3"/>
        <v>52250</v>
      </c>
    </row>
    <row r="48" spans="2:15" x14ac:dyDescent="0.2">
      <c r="B48" s="28" t="s">
        <v>47</v>
      </c>
      <c r="C48" s="29"/>
      <c r="D48" s="29"/>
      <c r="E48" s="29"/>
      <c r="F48" s="29">
        <v>5000</v>
      </c>
      <c r="G48" s="29">
        <v>5000</v>
      </c>
      <c r="H48" s="29">
        <v>5000</v>
      </c>
      <c r="I48" s="29">
        <v>5000</v>
      </c>
      <c r="J48" s="29">
        <v>5000</v>
      </c>
      <c r="K48" s="29">
        <v>5000</v>
      </c>
      <c r="L48" s="29">
        <v>5000</v>
      </c>
      <c r="M48" s="29">
        <v>5000</v>
      </c>
      <c r="N48" s="29">
        <v>5000</v>
      </c>
      <c r="O48" s="14">
        <f t="shared" si="3"/>
        <v>45000</v>
      </c>
    </row>
    <row r="49" spans="2:16" x14ac:dyDescent="0.2">
      <c r="B49" s="28" t="s">
        <v>48</v>
      </c>
      <c r="C49" s="29">
        <v>300</v>
      </c>
      <c r="D49" s="29">
        <v>300</v>
      </c>
      <c r="E49" s="29">
        <v>300</v>
      </c>
      <c r="F49" s="29">
        <v>300</v>
      </c>
      <c r="G49" s="29">
        <v>300</v>
      </c>
      <c r="H49" s="29">
        <v>300</v>
      </c>
      <c r="I49" s="29">
        <v>300</v>
      </c>
      <c r="J49" s="29">
        <v>300</v>
      </c>
      <c r="K49" s="29">
        <v>300</v>
      </c>
      <c r="L49" s="29">
        <v>300</v>
      </c>
      <c r="M49" s="29">
        <v>300</v>
      </c>
      <c r="N49" s="29">
        <v>300</v>
      </c>
      <c r="O49" s="14">
        <f t="shared" si="3"/>
        <v>3600</v>
      </c>
    </row>
    <row r="50" spans="2:16" x14ac:dyDescent="0.2">
      <c r="B50" s="27" t="s">
        <v>49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7"/>
      <c r="O50" s="8">
        <f t="shared" si="3"/>
        <v>0</v>
      </c>
    </row>
    <row r="51" spans="2:16" x14ac:dyDescent="0.2">
      <c r="B51" s="28" t="s">
        <v>50</v>
      </c>
      <c r="C51" s="29">
        <v>600</v>
      </c>
      <c r="D51" s="29">
        <v>600</v>
      </c>
      <c r="E51" s="29">
        <v>600</v>
      </c>
      <c r="F51" s="29">
        <v>600</v>
      </c>
      <c r="G51" s="29">
        <v>600</v>
      </c>
      <c r="H51" s="29">
        <v>600</v>
      </c>
      <c r="I51" s="29">
        <v>600</v>
      </c>
      <c r="J51" s="29">
        <v>600</v>
      </c>
      <c r="K51" s="29">
        <v>600</v>
      </c>
      <c r="L51" s="29">
        <v>600</v>
      </c>
      <c r="M51" s="29">
        <v>600</v>
      </c>
      <c r="N51" s="29">
        <v>600</v>
      </c>
      <c r="O51" s="14">
        <f t="shared" si="3"/>
        <v>7200</v>
      </c>
    </row>
    <row r="52" spans="2:16" x14ac:dyDescent="0.2">
      <c r="B52" s="28" t="s">
        <v>51</v>
      </c>
      <c r="C52" s="29">
        <v>350</v>
      </c>
      <c r="D52" s="29">
        <v>350</v>
      </c>
      <c r="E52" s="29">
        <v>350</v>
      </c>
      <c r="F52" s="29">
        <v>350</v>
      </c>
      <c r="G52" s="29">
        <v>350</v>
      </c>
      <c r="H52" s="29">
        <v>350</v>
      </c>
      <c r="I52" s="29">
        <v>350</v>
      </c>
      <c r="J52" s="29">
        <v>350</v>
      </c>
      <c r="K52" s="29">
        <v>350</v>
      </c>
      <c r="L52" s="29">
        <v>350</v>
      </c>
      <c r="M52" s="29">
        <v>350</v>
      </c>
      <c r="N52" s="29">
        <v>350</v>
      </c>
      <c r="O52" s="14">
        <f t="shared" si="3"/>
        <v>4200</v>
      </c>
    </row>
    <row r="53" spans="2:16" x14ac:dyDescent="0.2">
      <c r="B53" s="28" t="s">
        <v>52</v>
      </c>
      <c r="C53" s="29">
        <v>750</v>
      </c>
      <c r="D53" s="29">
        <v>750</v>
      </c>
      <c r="E53" s="29">
        <v>750</v>
      </c>
      <c r="F53" s="29">
        <v>750</v>
      </c>
      <c r="G53" s="29">
        <v>750</v>
      </c>
      <c r="H53" s="29">
        <v>750</v>
      </c>
      <c r="I53" s="29">
        <v>750</v>
      </c>
      <c r="J53" s="29">
        <v>750</v>
      </c>
      <c r="K53" s="29">
        <v>750</v>
      </c>
      <c r="L53" s="29">
        <v>750</v>
      </c>
      <c r="M53" s="29">
        <v>750</v>
      </c>
      <c r="N53" s="29">
        <v>750</v>
      </c>
      <c r="O53" s="14">
        <f t="shared" si="3"/>
        <v>9000</v>
      </c>
      <c r="P53" s="8" t="s">
        <v>53</v>
      </c>
    </row>
    <row r="54" spans="2:16" x14ac:dyDescent="0.2">
      <c r="B54" s="28" t="s">
        <v>54</v>
      </c>
      <c r="C54" s="29">
        <v>750</v>
      </c>
      <c r="D54" s="29">
        <v>750</v>
      </c>
      <c r="E54" s="29">
        <v>750</v>
      </c>
      <c r="F54" s="29">
        <v>750</v>
      </c>
      <c r="G54" s="29">
        <v>750</v>
      </c>
      <c r="H54" s="29">
        <v>750</v>
      </c>
      <c r="I54" s="29">
        <v>750</v>
      </c>
      <c r="J54" s="29">
        <v>750</v>
      </c>
      <c r="K54" s="29">
        <v>750</v>
      </c>
      <c r="L54" s="29">
        <v>750</v>
      </c>
      <c r="M54" s="29">
        <v>750</v>
      </c>
      <c r="N54" s="29">
        <v>750</v>
      </c>
      <c r="O54" s="14">
        <f t="shared" si="3"/>
        <v>9000</v>
      </c>
      <c r="P54" s="8" t="s">
        <v>55</v>
      </c>
    </row>
    <row r="55" spans="2:16" x14ac:dyDescent="0.2">
      <c r="B55" s="27" t="s">
        <v>56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7"/>
      <c r="O55" s="8">
        <f t="shared" si="3"/>
        <v>0</v>
      </c>
    </row>
    <row r="56" spans="2:16" x14ac:dyDescent="0.2">
      <c r="B56" s="28" t="s">
        <v>57</v>
      </c>
      <c r="C56" s="29">
        <v>100</v>
      </c>
      <c r="D56" s="29">
        <v>80</v>
      </c>
      <c r="E56" s="29">
        <v>80</v>
      </c>
      <c r="F56" s="29">
        <v>80</v>
      </c>
      <c r="G56" s="29">
        <v>80</v>
      </c>
      <c r="H56" s="29">
        <v>80</v>
      </c>
      <c r="I56" s="29">
        <v>80</v>
      </c>
      <c r="J56" s="29">
        <v>80</v>
      </c>
      <c r="K56" s="29">
        <v>80</v>
      </c>
      <c r="L56" s="29">
        <v>80</v>
      </c>
      <c r="M56" s="29">
        <v>80</v>
      </c>
      <c r="N56" s="29">
        <v>80</v>
      </c>
      <c r="O56" s="14">
        <f t="shared" si="3"/>
        <v>980</v>
      </c>
    </row>
    <row r="57" spans="2:16" x14ac:dyDescent="0.2">
      <c r="B57" s="28" t="s">
        <v>58</v>
      </c>
      <c r="C57" s="29">
        <v>100</v>
      </c>
      <c r="D57" s="29">
        <v>49</v>
      </c>
      <c r="E57" s="29">
        <v>49</v>
      </c>
      <c r="F57" s="29">
        <v>49</v>
      </c>
      <c r="G57" s="29">
        <v>49</v>
      </c>
      <c r="H57" s="29">
        <v>49</v>
      </c>
      <c r="I57" s="29">
        <v>49</v>
      </c>
      <c r="J57" s="29">
        <v>49</v>
      </c>
      <c r="K57" s="29">
        <v>49</v>
      </c>
      <c r="L57" s="29">
        <v>49</v>
      </c>
      <c r="M57" s="29">
        <v>49</v>
      </c>
      <c r="N57" s="29">
        <v>49</v>
      </c>
      <c r="O57" s="14">
        <f t="shared" si="3"/>
        <v>639</v>
      </c>
    </row>
    <row r="58" spans="2:16" x14ac:dyDescent="0.2">
      <c r="B58" s="28" t="s">
        <v>59</v>
      </c>
      <c r="C58" s="29">
        <v>600</v>
      </c>
      <c r="D58" s="29">
        <v>600</v>
      </c>
      <c r="E58" s="29">
        <v>600</v>
      </c>
      <c r="F58" s="29">
        <v>600</v>
      </c>
      <c r="G58" s="29">
        <v>600</v>
      </c>
      <c r="H58" s="29">
        <v>600</v>
      </c>
      <c r="I58" s="29">
        <v>600</v>
      </c>
      <c r="J58" s="29">
        <v>600</v>
      </c>
      <c r="K58" s="29">
        <v>600</v>
      </c>
      <c r="L58" s="29">
        <v>600</v>
      </c>
      <c r="M58" s="29">
        <v>600</v>
      </c>
      <c r="N58" s="29">
        <v>600</v>
      </c>
      <c r="O58" s="14">
        <f t="shared" si="3"/>
        <v>7200</v>
      </c>
    </row>
    <row r="59" spans="2:16" x14ac:dyDescent="0.2">
      <c r="B59" s="28" t="s">
        <v>60</v>
      </c>
      <c r="C59" s="29">
        <v>500</v>
      </c>
      <c r="D59" s="29">
        <v>500</v>
      </c>
      <c r="E59" s="29">
        <v>500</v>
      </c>
      <c r="F59" s="29">
        <v>500</v>
      </c>
      <c r="G59" s="29">
        <v>500</v>
      </c>
      <c r="H59" s="29">
        <v>500</v>
      </c>
      <c r="I59" s="29">
        <v>500</v>
      </c>
      <c r="J59" s="29">
        <v>500</v>
      </c>
      <c r="K59" s="29">
        <v>500</v>
      </c>
      <c r="L59" s="29">
        <v>500</v>
      </c>
      <c r="M59" s="29">
        <v>500</v>
      </c>
      <c r="N59" s="29">
        <v>500</v>
      </c>
      <c r="O59" s="14">
        <f t="shared" si="3"/>
        <v>6000</v>
      </c>
    </row>
    <row r="60" spans="2:16" x14ac:dyDescent="0.2">
      <c r="B60" s="28" t="s">
        <v>61</v>
      </c>
      <c r="C60" s="29">
        <v>1000</v>
      </c>
      <c r="D60" s="29"/>
      <c r="E60" s="29"/>
      <c r="F60" s="29">
        <v>1000</v>
      </c>
      <c r="G60" s="29"/>
      <c r="H60" s="29"/>
      <c r="I60" s="29">
        <v>1000</v>
      </c>
      <c r="J60" s="29"/>
      <c r="K60" s="29"/>
      <c r="L60" s="29">
        <v>1000</v>
      </c>
      <c r="M60" s="29"/>
      <c r="N60" s="29">
        <v>1000</v>
      </c>
      <c r="O60" s="14">
        <f t="shared" si="3"/>
        <v>5000</v>
      </c>
    </row>
    <row r="61" spans="2:16" x14ac:dyDescent="0.2">
      <c r="B61" s="28" t="s">
        <v>62</v>
      </c>
      <c r="C61" s="29">
        <v>400</v>
      </c>
      <c r="D61" s="29">
        <v>400</v>
      </c>
      <c r="E61" s="29">
        <v>400</v>
      </c>
      <c r="F61" s="29">
        <v>400</v>
      </c>
      <c r="G61" s="29">
        <v>400</v>
      </c>
      <c r="H61" s="29">
        <v>400</v>
      </c>
      <c r="I61" s="29">
        <v>400</v>
      </c>
      <c r="J61" s="29">
        <v>400</v>
      </c>
      <c r="K61" s="29">
        <v>400</v>
      </c>
      <c r="L61" s="29">
        <v>400</v>
      </c>
      <c r="M61" s="29">
        <v>400</v>
      </c>
      <c r="N61" s="29">
        <v>400</v>
      </c>
      <c r="O61" s="14">
        <f t="shared" si="3"/>
        <v>4800</v>
      </c>
    </row>
    <row r="62" spans="2:16" x14ac:dyDescent="0.2">
      <c r="B62" s="28" t="s">
        <v>63</v>
      </c>
      <c r="C62" s="29"/>
      <c r="D62" s="29">
        <v>200</v>
      </c>
      <c r="E62" s="29"/>
      <c r="F62" s="29">
        <v>200</v>
      </c>
      <c r="G62" s="29"/>
      <c r="H62" s="29"/>
      <c r="I62" s="29">
        <v>200</v>
      </c>
      <c r="J62" s="29"/>
      <c r="K62" s="29"/>
      <c r="L62" s="29"/>
      <c r="M62" s="29"/>
      <c r="N62" s="29"/>
      <c r="O62" s="14">
        <f t="shared" si="3"/>
        <v>600</v>
      </c>
    </row>
    <row r="63" spans="2:16" x14ac:dyDescent="0.2">
      <c r="C63" s="14"/>
      <c r="D63" s="14"/>
      <c r="E63" s="14"/>
      <c r="F63" s="14"/>
      <c r="G63" s="14"/>
      <c r="H63" s="14"/>
      <c r="I63" s="14"/>
      <c r="J63" s="14"/>
    </row>
    <row r="64" spans="2:16" x14ac:dyDescent="0.2">
      <c r="B64" s="30" t="s">
        <v>38</v>
      </c>
      <c r="C64" s="31">
        <f t="shared" ref="C64:N64" si="4">SUM(C44:C62)</f>
        <v>14800</v>
      </c>
      <c r="D64" s="31">
        <f t="shared" si="4"/>
        <v>14679</v>
      </c>
      <c r="E64" s="31">
        <f t="shared" si="4"/>
        <v>14979</v>
      </c>
      <c r="F64" s="31">
        <f t="shared" si="4"/>
        <v>21179</v>
      </c>
      <c r="G64" s="31">
        <f t="shared" si="4"/>
        <v>19979</v>
      </c>
      <c r="H64" s="31">
        <f t="shared" si="4"/>
        <v>19979</v>
      </c>
      <c r="I64" s="31">
        <f t="shared" si="4"/>
        <v>21179</v>
      </c>
      <c r="J64" s="31">
        <f t="shared" si="4"/>
        <v>19979</v>
      </c>
      <c r="K64" s="31">
        <f t="shared" si="4"/>
        <v>19979</v>
      </c>
      <c r="L64" s="31">
        <f t="shared" si="4"/>
        <v>20979</v>
      </c>
      <c r="M64" s="31">
        <f t="shared" si="4"/>
        <v>19979</v>
      </c>
      <c r="N64" s="31">
        <f t="shared" si="4"/>
        <v>20979</v>
      </c>
    </row>
    <row r="65" spans="2:14" x14ac:dyDescent="0.2">
      <c r="B65" s="22" t="s">
        <v>39</v>
      </c>
      <c r="C65" s="23"/>
      <c r="D65" s="23"/>
      <c r="E65" s="23"/>
      <c r="F65" s="23"/>
      <c r="G65" s="23"/>
      <c r="H65" s="23"/>
      <c r="I65" s="23"/>
      <c r="J65" s="23"/>
      <c r="K65" s="22"/>
      <c r="L65" s="22"/>
      <c r="M65" s="22"/>
      <c r="N65" s="22"/>
    </row>
    <row r="66" spans="2:14" x14ac:dyDescent="0.2">
      <c r="C66" s="14"/>
      <c r="D66" s="14"/>
      <c r="E66" s="14"/>
      <c r="F66" s="14"/>
      <c r="G66" s="14"/>
      <c r="H66" s="14"/>
      <c r="I66" s="14"/>
      <c r="J66" s="14"/>
    </row>
    <row r="67" spans="2:14" x14ac:dyDescent="0.2">
      <c r="B67" s="24" t="s">
        <v>40</v>
      </c>
      <c r="C67" s="25">
        <f>SUM(C44:N62)</f>
        <v>228669</v>
      </c>
      <c r="D67" s="14"/>
      <c r="E67" s="14"/>
      <c r="F67" s="14"/>
      <c r="G67" s="14"/>
      <c r="H67" s="14"/>
      <c r="I67" s="14"/>
      <c r="J67" s="14"/>
    </row>
    <row r="68" spans="2:14" x14ac:dyDescent="0.2">
      <c r="C68" s="14"/>
      <c r="D68" s="14"/>
      <c r="E68" s="14"/>
      <c r="F68" s="14"/>
      <c r="G68" s="14"/>
      <c r="H68" s="14"/>
      <c r="I68" s="14"/>
      <c r="J68" s="14"/>
    </row>
    <row r="69" spans="2:14" x14ac:dyDescent="0.2">
      <c r="C69" s="14"/>
      <c r="D69" s="14"/>
      <c r="E69" s="14"/>
      <c r="F69" s="14"/>
      <c r="G69" s="14"/>
      <c r="H69" s="14"/>
      <c r="I69" s="14"/>
      <c r="J69" s="14"/>
    </row>
    <row r="70" spans="2:14" x14ac:dyDescent="0.2">
      <c r="B70" s="2" t="s">
        <v>64</v>
      </c>
      <c r="C70" s="3"/>
      <c r="D70" s="3"/>
      <c r="E70" s="3"/>
      <c r="F70" s="3"/>
      <c r="G70" s="3"/>
      <c r="H70" s="3"/>
      <c r="I70" s="3"/>
      <c r="J70" s="3"/>
    </row>
    <row r="72" spans="2:14" x14ac:dyDescent="0.2">
      <c r="B72" s="22"/>
      <c r="C72" s="23">
        <f t="shared" ref="C72:N72" si="5">C33-C64</f>
        <v>-6840</v>
      </c>
      <c r="D72" s="23">
        <f t="shared" si="5"/>
        <v>21981</v>
      </c>
      <c r="E72" s="23">
        <f t="shared" si="5"/>
        <v>11613</v>
      </c>
      <c r="F72" s="23">
        <f t="shared" si="5"/>
        <v>38441</v>
      </c>
      <c r="G72" s="23">
        <f t="shared" si="5"/>
        <v>43841</v>
      </c>
      <c r="H72" s="23">
        <f t="shared" si="5"/>
        <v>6141</v>
      </c>
      <c r="I72" s="23">
        <f t="shared" si="5"/>
        <v>34241</v>
      </c>
      <c r="J72" s="23">
        <f t="shared" si="5"/>
        <v>-1559</v>
      </c>
      <c r="K72" s="23">
        <f t="shared" si="5"/>
        <v>-1359</v>
      </c>
      <c r="L72" s="23">
        <f t="shared" si="5"/>
        <v>82641</v>
      </c>
      <c r="M72" s="23">
        <f t="shared" si="5"/>
        <v>-6692.3333333333339</v>
      </c>
      <c r="N72" s="23">
        <f t="shared" si="5"/>
        <v>-2592.3333333333358</v>
      </c>
    </row>
    <row r="73" spans="2:14" x14ac:dyDescent="0.2">
      <c r="B73" s="22"/>
      <c r="C73" s="22"/>
    </row>
    <row r="74" spans="2:14" x14ac:dyDescent="0.2">
      <c r="B74" s="22" t="s">
        <v>40</v>
      </c>
      <c r="C74" s="23">
        <f>C36-C67</f>
        <v>219856.33333333337</v>
      </c>
      <c r="D74" s="32">
        <f>1-C67/C36</f>
        <v>0.49017595438682027</v>
      </c>
    </row>
    <row r="75" spans="2:14" x14ac:dyDescent="0.2">
      <c r="B75" s="33" t="s">
        <v>65</v>
      </c>
      <c r="C75" s="14">
        <f>C74-C74*0.25</f>
        <v>164892.25000000003</v>
      </c>
    </row>
    <row r="76" spans="2:14" x14ac:dyDescent="0.2">
      <c r="B76" s="33" t="s">
        <v>66</v>
      </c>
      <c r="C76" s="14">
        <f>C75*0.9</f>
        <v>148403.02500000002</v>
      </c>
    </row>
    <row r="77" spans="2:14" x14ac:dyDescent="0.2">
      <c r="B77" s="33" t="s">
        <v>67</v>
      </c>
      <c r="C77" s="14">
        <f>C76-C76*0.3</f>
        <v>103882.11750000002</v>
      </c>
    </row>
    <row r="78" spans="2:14" x14ac:dyDescent="0.2">
      <c r="B78" s="33" t="s">
        <v>68</v>
      </c>
      <c r="C78" s="14">
        <f>C77/12</f>
        <v>8656.8431250000012</v>
      </c>
    </row>
  </sheetData>
  <mergeCells count="11">
    <mergeCell ref="C41:N41"/>
    <mergeCell ref="B43:N43"/>
    <mergeCell ref="B50:N50"/>
    <mergeCell ref="B55:N55"/>
    <mergeCell ref="B70:J70"/>
    <mergeCell ref="B3:N3"/>
    <mergeCell ref="C5:N5"/>
    <mergeCell ref="B7:N7"/>
    <mergeCell ref="B21:N21"/>
    <mergeCell ref="B24:N24"/>
    <mergeCell ref="B39:N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Emile Kratiroff</dc:creator>
  <cp:lastModifiedBy>Emile Kratiroff</cp:lastModifiedBy>
  <dcterms:created xsi:type="dcterms:W3CDTF">2026-03-11T10:42:49Z</dcterms:created>
  <dcterms:modified xsi:type="dcterms:W3CDTF">2026-03-11T10:43:14Z</dcterms:modified>
</cp:coreProperties>
</file>